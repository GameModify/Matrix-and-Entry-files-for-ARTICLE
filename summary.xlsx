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521fa8d36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lerance_0_05" sheetId="1" r:id="R10f929abcebd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4">
    <x:font>
      <x:sz val="11"/>
      <x:name val="Carlito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36609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9b6c166104e7e" /><Relationship Type="http://schemas.openxmlformats.org/officeDocument/2006/relationships/theme" Target="/xl/theme/theme1.xml" Id="Rb7753c1241b44d7d" /><Relationship Type="http://schemas.openxmlformats.org/officeDocument/2006/relationships/sharedStrings" Target="/xl/sharedStrings.xml" Id="R47baae709b90412d" /><Relationship Type="http://schemas.openxmlformats.org/officeDocument/2006/relationships/worksheet" Target="/xl/worksheets/sheet1.xml" Id="R10f929abcebd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6" hidden="0" customWidth="1"/>
    <x:col min="4" max="4" width="25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1" hidden="0" customWidth="1"/>
    <x:col min="13" max="13" width="18" hidden="0" customWidth="1"/>
    <x:col min="14" max="14" width="22" hidden="0" customWidth="1"/>
    <x:col min="15" max="15" width="10" hidden="0" customWidth="1"/>
    <x:col min="16" max="16" width="10" hidden="0" customWidth="1"/>
    <x:col min="17" max="17" width="37" hidden="0" customWidth="1"/>
    <x:col min="18" max="18" width="27" hidden="0" customWidth="1"/>
  </x:cols>
  <x:sheetData>
    <x:row r="1" ht="34" customHeight="1">
      <x:c r="A1" s="6" t="str">
        <x:v>№ эксперимента</x:v>
      </x:c>
      <x:c r="B1" s="6" t="str">
        <x:v>Кол-во альтернатив</x:v>
      </x:c>
      <x:c r="C1" s="6" t="str">
        <x:v>Кол-во критериев</x:v>
      </x:c>
      <x:c r="D1" s="6" t="str">
        <x:v>Кол-во максимизируемых критериев</x:v>
      </x:c>
      <x:c r="E1" s="6" t="str">
        <x:v>Доля максимизируемых (%)</x:v>
      </x:c>
      <x:c r="F1" s="6" t="str">
        <x:v>Подходит для Δ1</x:v>
      </x:c>
      <x:c r="G1" s="6" t="str">
        <x:v>Подходит для Δ2</x:v>
      </x:c>
      <x:c r="H1" s="6" t="str">
        <x:v>Подходит для Δ3</x:v>
      </x:c>
      <x:c r="I1" s="6" t="str">
        <x:v>Подходит для Δ4</x:v>
      </x:c>
      <x:c r="J1" s="6" t="str">
        <x:v>Подходит для Δ5</x:v>
      </x:c>
      <x:c r="K1" s="6" t="str">
        <x:v>Подходит по всем Δ</x:v>
      </x:c>
      <x:c r="L1" s="6" t="str">
        <x:v>Минимальные по всем Δ</x:v>
      </x:c>
      <x:c r="M1" s="6" t="str">
        <x:v>Время расчёта (сек)</x:v>
      </x:c>
      <x:c r="N1" s="6" t="str">
        <x:v>Полное время обработки (сек)</x:v>
      </x:c>
      <x:c r="O1" s="6" t="str">
        <x:v>G=0</x:v>
      </x:c>
      <x:c r="P1" s="6" t="str">
        <x:v>G&lt;0</x:v>
      </x:c>
    </x:row>
    <x:row r="2" ht="20" customHeight="1">
      <x:c r="A2" s="16" t="str">
        <x:v>1A</x:v>
      </x:c>
      <x:c r="B2" s="16" t="n">
        <x:v>28</x:v>
      </x:c>
      <x:c r="C2" s="16" t="n">
        <x:v>5</x:v>
      </x:c>
      <x:c r="D2" s="16" t="n">
        <x:v>4</x:v>
      </x:c>
      <x:c r="E2" s="18" t="n">
        <x:v>48.3</x:v>
      </x:c>
      <x:c r="F2" s="16" t="n">
        <x:v>11</x:v>
      </x:c>
      <x:c r="G2" s="16" t="n">
        <x:v>1</x:v>
      </x:c>
      <x:c r="H2" s="16" t="n">
        <x:v>317</x:v>
      </x:c>
      <x:c r="I2" s="16" t="n">
        <x:v>1</x:v>
      </x:c>
      <x:c r="J2" s="16" t="n">
        <x:v>10</x:v>
      </x:c>
      <x:c r="K2" s="16" t="n">
        <x:v>1</x:v>
      </x:c>
      <x:c r="L2" s="16" t="n">
        <x:v>0</x:v>
      </x:c>
      <x:c r="M2" s="20" t="n">
        <x:v>0.094</x:v>
      </x:c>
      <x:c r="N2" s="20" t="n">
        <x:v>1.256</x:v>
      </x:c>
      <x:c r="O2" s="16" t="n">
        <x:v>0</x:v>
      </x:c>
      <x:c r="P2" s="16" t="n">
        <x:v>0</x:v>
      </x:c>
    </x:row>
    <x:row r="3" ht="20" customHeight="1">
      <x:c r="A3" s="16" t="str">
        <x:v>1B</x:v>
      </x:c>
      <x:c r="B3" s="16" t="n">
        <x:v>28</x:v>
      </x:c>
      <x:c r="C3" s="16" t="n">
        <x:v>5</x:v>
      </x:c>
      <x:c r="D3" s="16" t="n">
        <x:v>4</x:v>
      </x:c>
      <x:c r="E3" s="18" t="n">
        <x:v>48.3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s="16" t="n">
        <x:v>0</x:v>
      </x:c>
      <x:c r="K3" s="16" t="n">
        <x:v>0</x:v>
      </x:c>
      <x:c r="L3" s="16" t="n">
        <x:v>0</x:v>
      </x:c>
      <x:c r="M3" s="20" t="n">
        <x:v>0.083</x:v>
      </x:c>
      <x:c r="N3" s="20" t="n">
        <x:v>1.137</x:v>
      </x:c>
      <x:c r="O3" s="16" t="n">
        <x:v>0</x:v>
      </x:c>
      <x:c r="P3" s="16" t="n">
        <x:v>0</x:v>
      </x:c>
    </x:row>
    <x:row r="4" ht="20" customHeight="1">
      <x:c r="A4" s="16" t="str">
        <x:v>2A</x:v>
      </x:c>
      <x:c r="B4" s="16" t="n">
        <x:v>34</x:v>
      </x:c>
      <x:c r="C4" s="16" t="n">
        <x:v>5</x:v>
      </x:c>
      <x:c r="D4" s="16" t="n">
        <x:v>4</x:v>
      </x:c>
      <x:c r="E4" s="18" t="n">
        <x:v>62.6</x:v>
      </x:c>
      <x:c r="F4" s="16" t="n">
        <x:v>71</x:v>
      </x:c>
      <x:c r="G4" s="16" t="n">
        <x:v>37</x:v>
      </x:c>
      <x:c r="H4" s="16" t="n">
        <x:v>871</x:v>
      </x:c>
      <x:c r="I4" s="16" t="n">
        <x:v>37</x:v>
      </x:c>
      <x:c r="J4" s="16" t="n">
        <x:v>64</x:v>
      </x:c>
      <x:c r="K4" s="16" t="n">
        <x:v>37</x:v>
      </x:c>
      <x:c r="L4" s="16" t="n">
        <x:v>2</x:v>
      </x:c>
      <x:c r="M4" s="20" t="n">
        <x:v>0.083</x:v>
      </x:c>
      <x:c r="N4" s="20" t="n">
        <x:v>1.205</x:v>
      </x:c>
      <x:c r="O4" s="16" t="n">
        <x:v>0</x:v>
      </x:c>
      <x:c r="P4" s="16" t="n">
        <x:v>0</x:v>
      </x:c>
    </x:row>
    <x:row r="5" ht="20" customHeight="1">
      <x:c r="A5" s="16" t="str">
        <x:v>2B</x:v>
      </x:c>
      <x:c r="B5" s="16" t="n">
        <x:v>34</x:v>
      </x:c>
      <x:c r="C5" s="16" t="n">
        <x:v>5</x:v>
      </x:c>
      <x:c r="D5" s="16" t="n">
        <x:v>4</x:v>
      </x:c>
      <x:c r="E5" s="18" t="n">
        <x:v>62.6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  <x:c r="M5" s="20" t="n">
        <x:v>0.095</x:v>
      </x:c>
      <x:c r="N5" s="20" t="n">
        <x:v>1.083</x:v>
      </x:c>
      <x:c r="O5" s="16" t="n">
        <x:v>0</x:v>
      </x:c>
      <x:c r="P5" s="16" t="n">
        <x:v>1</x:v>
      </x:c>
    </x:row>
    <x:row r="6" ht="20" customHeight="1">
      <x:c r="A6" s="16" t="str">
        <x:v>3A</x:v>
      </x:c>
      <x:c r="B6" s="16" t="n">
        <x:v>44</x:v>
      </x:c>
      <x:c r="C6" s="16" t="n">
        <x:v>5</x:v>
      </x:c>
      <x:c r="D6" s="16" t="n">
        <x:v>4</x:v>
      </x:c>
      <x:c r="E6" s="18" t="n">
        <x:v>64.8</x:v>
      </x:c>
      <x:c r="F6" s="16" t="n">
        <x:v>36</x:v>
      </x:c>
      <x:c r="G6" s="16" t="n">
        <x:v>6</x:v>
      </x:c>
      <x:c r="H6" s="16" t="n">
        <x:v>998</x:v>
      </x:c>
      <x:c r="I6" s="16" t="n">
        <x:v>6</x:v>
      </x:c>
      <x:c r="J6" s="16" t="n">
        <x:v>47</x:v>
      </x:c>
      <x:c r="K6" s="16" t="n">
        <x:v>6</x:v>
      </x:c>
      <x:c r="L6" s="16" t="n">
        <x:v>1</x:v>
      </x:c>
      <x:c r="M6" s="20" t="n">
        <x:v>0.094</x:v>
      </x:c>
      <x:c r="N6" s="20" t="n">
        <x:v>1.266</x:v>
      </x:c>
      <x:c r="O6" s="16" t="n">
        <x:v>0</x:v>
      </x:c>
      <x:c r="P6" s="16" t="n">
        <x:v>0</x:v>
      </x:c>
    </x:row>
    <x:row r="7" ht="20" customHeight="1">
      <x:c r="A7" s="16" t="str">
        <x:v>3B</x:v>
      </x:c>
      <x:c r="B7" s="16" t="n">
        <x:v>44</x:v>
      </x:c>
      <x:c r="C7" s="16" t="n">
        <x:v>5</x:v>
      </x:c>
      <x:c r="D7" s="16" t="n">
        <x:v>4</x:v>
      </x:c>
      <x:c r="E7" s="18" t="n">
        <x:v>64.8</x:v>
      </x:c>
      <x:c r="F7" s="16" t="n">
        <x:v>0</x:v>
      </x:c>
      <x:c r="G7" s="16" t="n">
        <x:v>0</x:v>
      </x:c>
      <x:c r="H7" s="16" t="n">
        <x:v>744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20" t="n">
        <x:v>0.089</x:v>
      </x:c>
      <x:c r="N7" s="20" t="n">
        <x:v>1.194</x:v>
      </x:c>
      <x:c r="O7" s="16" t="n">
        <x:v>0</x:v>
      </x:c>
      <x:c r="P7" s="16" t="n">
        <x:v>2</x:v>
      </x:c>
    </x:row>
    <x:row r="11">
      <x:c r="Q11" s="24" t="str">
        <x:v>СТАТИСТИКА ВРЕМЕНИ РАСЧЁТОВ:</x:v>
      </x:c>
      <x:c r="R11" s="24"/>
    </x:row>
    <x:row r="12">
      <x:c r="Q12" s="25" t="str">
        <x:v>Общее время расчётов:</x:v>
      </x:c>
      <x:c r="R12" s="25" t="str">
        <x:f>TEXT(SUM(M2:M7),"0.000")&amp;" сек ("&amp;TEXT(SUM(M2:M7)/60,"0.00")&amp;" мин)"</x:f>
        <x:v>0.538 сек (0.01 мин)</x:v>
      </x:c>
    </x:row>
    <x:row r="13">
      <x:c r="Q13" s="25" t="str">
        <x:v>Среднее на эксперимент:</x:v>
      </x:c>
      <x:c r="R13" s="25" t="str">
        <x:f>TEXT(AVERAGE(M2:M7),"0.000")&amp;" сек"</x:f>
        <x:v>0.090 сек</x:v>
      </x:c>
    </x:row>
    <x:row r="14">
      <x:c r="Q14" s="25" t="str">
        <x:v>Минимальное время:</x:v>
      </x:c>
      <x:c r="R14" s="25" t="str">
        <x:f>TEXT(MIN(M2:M7),"0.000")&amp;" сек"</x:f>
        <x:v>0.083 сек</x:v>
      </x:c>
    </x:row>
    <x:row r="15">
      <x:c r="Q15" s="25" t="str">
        <x:v>Максимальное время:</x:v>
      </x:c>
      <x:c r="R15" s="25" t="str">
        <x:f>TEXT(MAX(M2:M7),"0.000")&amp;" сек"</x:f>
        <x:v>0.095 сек</x:v>
      </x:c>
    </x:row>
    <x:row r="16">
      <x:c r="Q16" s="25"/>
      <x:c r="R16" s="25"/>
    </x:row>
    <x:row r="17">
      <x:c r="Q17" s="25"/>
      <x:c r="R17" s="25"/>
    </x:row>
    <x:row r="18">
      <x:c r="Q18" s="24" t="str">
        <x:v>ПОЛНОЕ ВРЕМЯ ОБРАБОТКИ:</x:v>
      </x:c>
      <x:c r="R18" s="24"/>
    </x:row>
    <x:row r="19">
      <x:c r="Q19" s="25" t="str">
        <x:v>Общее полное время:</x:v>
      </x:c>
      <x:c r="R19" s="25" t="str">
        <x:f>TEXT(SUM(N2:N7),"0.000")&amp;" сек ("&amp;TEXT(SUM(N2:N7)/60,"0.00")&amp;" мин)"</x:f>
        <x:v>7.141 сек (0.12 мин)</x:v>
      </x:c>
    </x:row>
    <x:row r="20">
      <x:c r="Q20" s="25" t="str">
        <x:v>Среднее на эксперимент:</x:v>
      </x:c>
      <x:c r="R20" s="25" t="str">
        <x:f>TEXT(AVERAGE(N2:N7),"0.000")&amp;" сек"</x:f>
        <x:v>1.190 сек</x:v>
      </x:c>
    </x:row>
    <x:row r="21">
      <x:c r="Q21" s="25" t="str">
        <x:v>Минимальное время:</x:v>
      </x:c>
      <x:c r="R21" s="25" t="str">
        <x:f>TEXT(MIN(N2:N7),"0.000")&amp;" сек"</x:f>
        <x:v>1.083 сек</x:v>
      </x:c>
    </x:row>
    <x:row r="22">
      <x:c r="Q22" s="25" t="str">
        <x:v>Максимальное время:</x:v>
      </x:c>
      <x:c r="R22" s="25" t="str">
        <x:f>TEXT(MAX(N2:N7),"0.000")&amp;" сек"</x:f>
        <x:v>1.266 сек</x:v>
      </x:c>
    </x:row>
    <x:row r="23">
      <x:c r="Q23" s="25"/>
      <x:c r="R23" s="25"/>
    </x:row>
    <x:row r="24">
      <x:c r="Q24" s="25"/>
      <x:c r="R24" s="25"/>
    </x:row>
    <x:row r="25">
      <x:c r="Q25" s="25" t="str">
        <x:v>Кол-во экспериментов:</x:v>
      </x:c>
      <x:c r="R25" s="25" t="n">
        <x:f>COUNTA(A2:A7)</x:f>
        <x:v>6</x:v>
      </x:c>
    </x:row>
  </x:sheetData>
  <x:pageMargins left="0.7" right="0.7" top="0.75" bottom="0.75" header="0.3" footer="0.3"/>
</x:worksheet>
</file>